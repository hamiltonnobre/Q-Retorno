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360" yWindow="165" windowWidth="14355" windowHeight="4635" tabRatio="790"/>
  </bookViews>
  <sheets>
    <sheet name="Menu" sheetId="8" r:id="rId1"/>
    <sheet name="Entrada e Saída" sheetId="3" r:id="rId2"/>
    <sheet name="Consulta Estoque" sheetId="4" r:id="rId3"/>
    <sheet name="Registro de Inventário" sheetId="2" r:id="rId4"/>
    <sheet name="Cadastro de Produtos" sheetId="1" r:id="rId5"/>
    <sheet name="Cadastros Gerais" sheetId="5" r:id="rId6"/>
  </sheets>
  <functionGroups builtInGroupCount="17"/>
  <definedNames>
    <definedName name="_xlnm._FilterDatabase" localSheetId="2" hidden="1">'Consulta Estoque'!$A$1:$F$9</definedName>
    <definedName name="_xlnm._FilterDatabase" localSheetId="3" hidden="1">'Registro de Inventário'!$A:$J</definedName>
    <definedName name="_xlnm.Extract" localSheetId="2">'Consulta Estoque'!$A$8:$J$8</definedName>
    <definedName name="_xlnm.Criteria" localSheetId="2">'Consulta Estoque'!$A$2:$A$3</definedName>
    <definedName name="Produtos">OFFSET('Cadastro de Produtos'!$A$2,0,0,COUNTA('Cadastro de Produtos'!$A:$A)-1,1)</definedName>
    <definedName name="TabelaEstoque">Tabela3[]</definedName>
    <definedName name="Tipo_Movimentacao">OFFSET('Cadastros Gerais'!$A$2,0,0,COUNTA('Cadastros Gerais'!$A:$A),1)</definedName>
  </definedNames>
  <calcPr calcId="144525"/>
</workbook>
</file>

<file path=xl/calcChain.xml><?xml version="1.0" encoding="utf-8"?>
<calcChain xmlns="http://schemas.openxmlformats.org/spreadsheetml/2006/main">
  <c r="K12" i="2" l="1"/>
  <c r="K13" i="2"/>
  <c r="K14" i="2"/>
  <c r="K15" i="2"/>
  <c r="K16" i="2"/>
  <c r="K12" i="4" l="1"/>
  <c r="L10" i="4"/>
  <c r="L11" i="4"/>
  <c r="L12" i="4" s="1"/>
  <c r="M10" i="4"/>
  <c r="M11" i="4" s="1"/>
  <c r="N10" i="4"/>
  <c r="K10" i="4" s="1"/>
  <c r="K9" i="4"/>
  <c r="M12" i="4" l="1"/>
  <c r="N12" i="4" s="1"/>
  <c r="N11" i="4"/>
  <c r="K11" i="4" s="1"/>
  <c r="L9" i="4"/>
  <c r="K2" i="2" l="1"/>
  <c r="K3" i="2"/>
  <c r="K4" i="2"/>
  <c r="K5" i="2"/>
  <c r="K6" i="2"/>
  <c r="K7" i="2"/>
  <c r="K8" i="2"/>
  <c r="K9" i="2"/>
  <c r="K10" i="2"/>
  <c r="K11" i="2"/>
  <c r="D4" i="4"/>
  <c r="B6" i="4" l="1"/>
  <c r="B5" i="4"/>
  <c r="B4" i="4"/>
  <c r="C9" i="3"/>
  <c r="E9" i="3"/>
  <c r="B3" i="4"/>
  <c r="D3" i="4"/>
  <c r="M9" i="4" l="1"/>
  <c r="N9" i="4" l="1"/>
  <c r="C13" i="3"/>
  <c r="C7" i="3"/>
  <c r="C6" i="3"/>
  <c r="C5" i="3"/>
  <c r="C4" i="3"/>
  <c r="D5" i="4"/>
  <c r="D6" i="4"/>
</calcChain>
</file>

<file path=xl/sharedStrings.xml><?xml version="1.0" encoding="utf-8"?>
<sst xmlns="http://schemas.openxmlformats.org/spreadsheetml/2006/main" count="119" uniqueCount="47">
  <si>
    <t>Código</t>
  </si>
  <si>
    <t>Produto</t>
  </si>
  <si>
    <t>Dimensões</t>
  </si>
  <si>
    <t>Fornecedor principal</t>
  </si>
  <si>
    <t>Detalhes</t>
  </si>
  <si>
    <t>Raquete de tênis Wilson</t>
  </si>
  <si>
    <t>Wilson</t>
  </si>
  <si>
    <t>Azul</t>
  </si>
  <si>
    <t>Tênis de corrida Mizuno</t>
  </si>
  <si>
    <t>Toca de natação Speedo</t>
  </si>
  <si>
    <t>Mizuno</t>
  </si>
  <si>
    <t>Speedo</t>
  </si>
  <si>
    <t>Vermelho</t>
  </si>
  <si>
    <t>Preto</t>
  </si>
  <si>
    <t>Tipo Movimentação</t>
  </si>
  <si>
    <t>Data</t>
  </si>
  <si>
    <t>Qtde.</t>
  </si>
  <si>
    <t>Valor</t>
  </si>
  <si>
    <t>Quantidade</t>
  </si>
  <si>
    <t>Valor total</t>
  </si>
  <si>
    <t>Valor unitário</t>
  </si>
  <si>
    <t>E</t>
  </si>
  <si>
    <t>Valor Total</t>
  </si>
  <si>
    <t>Custo Médio</t>
  </si>
  <si>
    <t>Estoque Atual</t>
  </si>
  <si>
    <t>Saída</t>
  </si>
  <si>
    <t>S</t>
  </si>
  <si>
    <t>Operação Fiscal</t>
  </si>
  <si>
    <t>Série</t>
  </si>
  <si>
    <t>Nota Fiscal</t>
  </si>
  <si>
    <t>Complemento</t>
  </si>
  <si>
    <t>CF1</t>
  </si>
  <si>
    <t>Venda de mercadorias</t>
  </si>
  <si>
    <t>Entrada de fornecedor</t>
  </si>
  <si>
    <t>Fornecedor/Cliente</t>
  </si>
  <si>
    <t>Entrada</t>
  </si>
  <si>
    <t>Rodrigo Martins</t>
  </si>
  <si>
    <t>Tipo movimentação</t>
  </si>
  <si>
    <t>Teste</t>
  </si>
  <si>
    <t>Movimentação de estoque</t>
  </si>
  <si>
    <t>Valor Mov.</t>
  </si>
  <si>
    <t>Qtd.Total</t>
  </si>
  <si>
    <t>Antônio</t>
  </si>
  <si>
    <t>Qualquer coisa</t>
  </si>
  <si>
    <t>Seq</t>
  </si>
  <si>
    <t>Colunas1</t>
  </si>
  <si>
    <t>Valor 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</si>
</sst>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9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3" xfId="0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43" fontId="0" fillId="0" borderId="0" xfId="1" applyFont="1"/>
    <xf numFmtId="164" fontId="0" fillId="0" borderId="0" xfId="1" applyNumberFormat="1" applyFont="1"/>
    <xf numFmtId="14" fontId="2" fillId="0" borderId="0" xfId="0" applyNumberFormat="1" applyFont="1" applyAlignment="1">
      <alignment horizontal="center"/>
    </xf>
    <xf numFmtId="164" fontId="2" fillId="0" borderId="0" xfId="1" applyNumberFormat="1" applyFont="1" applyAlignment="1">
      <alignment horizontal="center"/>
    </xf>
    <xf numFmtId="43" fontId="2" fillId="0" borderId="0" xfId="1" applyFont="1" applyAlignment="1">
      <alignment horizontal="center"/>
    </xf>
    <xf numFmtId="164" fontId="5" fillId="0" borderId="0" xfId="1" applyNumberFormat="1" applyFont="1"/>
    <xf numFmtId="7" fontId="5" fillId="0" borderId="0" xfId="1" applyNumberFormat="1" applyFont="1"/>
    <xf numFmtId="0" fontId="4" fillId="2" borderId="6" xfId="0" applyFont="1" applyFill="1" applyBorder="1" applyAlignment="1">
      <alignment horizontal="center"/>
    </xf>
    <xf numFmtId="44" fontId="0" fillId="0" borderId="5" xfId="2" applyNumberFormat="1" applyFont="1" applyBorder="1"/>
    <xf numFmtId="7" fontId="0" fillId="0" borderId="0" xfId="1" applyNumberFormat="1" applyFont="1"/>
    <xf numFmtId="0" fontId="4" fillId="2" borderId="17" xfId="0" applyFont="1" applyFill="1" applyBorder="1" applyAlignment="1">
      <alignment horizontal="left"/>
    </xf>
    <xf numFmtId="0" fontId="4" fillId="2" borderId="18" xfId="0" applyFont="1" applyFill="1" applyBorder="1" applyAlignment="1">
      <alignment horizontal="left"/>
    </xf>
    <xf numFmtId="0" fontId="2" fillId="4" borderId="0" xfId="0" applyFont="1" applyFill="1" applyAlignment="1">
      <alignment horizontal="center"/>
    </xf>
    <xf numFmtId="164" fontId="2" fillId="4" borderId="0" xfId="1" applyNumberFormat="1" applyFont="1" applyFill="1" applyAlignment="1">
      <alignment horizontal="center"/>
    </xf>
    <xf numFmtId="43" fontId="2" fillId="4" borderId="0" xfId="1" applyFont="1" applyFill="1" applyAlignment="1">
      <alignment horizontal="center"/>
    </xf>
    <xf numFmtId="0" fontId="0" fillId="4" borderId="0" xfId="0" applyFill="1"/>
    <xf numFmtId="14" fontId="0" fillId="4" borderId="0" xfId="0" applyNumberFormat="1" applyFill="1"/>
    <xf numFmtId="164" fontId="0" fillId="4" borderId="0" xfId="1" applyNumberFormat="1" applyFont="1" applyFill="1"/>
    <xf numFmtId="43" fontId="0" fillId="4" borderId="0" xfId="1" applyFont="1" applyFill="1"/>
    <xf numFmtId="1" fontId="0" fillId="3" borderId="14" xfId="0" applyNumberFormat="1" applyFill="1" applyBorder="1" applyProtection="1">
      <protection locked="0"/>
    </xf>
    <xf numFmtId="164" fontId="0" fillId="3" borderId="15" xfId="1" applyNumberFormat="1" applyFont="1" applyFill="1" applyBorder="1" applyProtection="1">
      <protection locked="0"/>
    </xf>
    <xf numFmtId="14" fontId="0" fillId="3" borderId="15" xfId="1" applyNumberFormat="1" applyFont="1" applyFill="1" applyBorder="1" applyProtection="1">
      <protection locked="0"/>
    </xf>
    <xf numFmtId="44" fontId="0" fillId="3" borderId="15" xfId="2" applyFont="1" applyFill="1" applyBorder="1" applyProtection="1">
      <protection locked="0"/>
    </xf>
    <xf numFmtId="164" fontId="0" fillId="3" borderId="16" xfId="1" applyNumberFormat="1" applyFont="1" applyFill="1" applyBorder="1" applyProtection="1">
      <protection locked="0"/>
    </xf>
    <xf numFmtId="0" fontId="7" fillId="5" borderId="6" xfId="3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164" fontId="0" fillId="6" borderId="15" xfId="1" applyNumberFormat="1" applyFont="1" applyFill="1" applyBorder="1"/>
    <xf numFmtId="44" fontId="0" fillId="6" borderId="15" xfId="2" applyFont="1" applyFill="1" applyBorder="1"/>
    <xf numFmtId="0" fontId="2" fillId="0" borderId="13" xfId="0" applyFont="1" applyBorder="1" applyAlignment="1">
      <alignment horizontal="center"/>
    </xf>
    <xf numFmtId="7" fontId="0" fillId="0" borderId="0" xfId="2" applyNumberFormat="1" applyFont="1" applyBorder="1"/>
    <xf numFmtId="43" fontId="0" fillId="0" borderId="0" xfId="1" applyNumberFormat="1" applyFont="1" applyBorder="1"/>
    <xf numFmtId="44" fontId="0" fillId="0" borderId="0" xfId="2" applyNumberFormat="1" applyFont="1" applyBorder="1"/>
    <xf numFmtId="0" fontId="0" fillId="0" borderId="19" xfId="0" applyBorder="1" applyAlignment="1"/>
    <xf numFmtId="0" fontId="4" fillId="2" borderId="21" xfId="0" applyFont="1" applyFill="1" applyBorder="1" applyAlignment="1"/>
    <xf numFmtId="0" fontId="4" fillId="2" borderId="23" xfId="0" applyFont="1" applyFill="1" applyBorder="1" applyAlignment="1">
      <alignment horizontal="left"/>
    </xf>
    <xf numFmtId="0" fontId="4" fillId="2" borderId="24" xfId="0" applyFont="1" applyFill="1" applyBorder="1" applyAlignment="1">
      <alignment horizontal="left"/>
    </xf>
    <xf numFmtId="0" fontId="4" fillId="2" borderId="25" xfId="0" applyFont="1" applyFill="1" applyBorder="1" applyAlignment="1">
      <alignment horizontal="left"/>
    </xf>
    <xf numFmtId="0" fontId="6" fillId="7" borderId="12" xfId="0" applyFont="1" applyFill="1" applyBorder="1" applyAlignment="1" applyProtection="1">
      <alignment horizontal="right"/>
      <protection locked="0"/>
    </xf>
    <xf numFmtId="0" fontId="2" fillId="0" borderId="26" xfId="0" applyFont="1" applyBorder="1" applyAlignment="1">
      <alignment horizontal="center"/>
    </xf>
    <xf numFmtId="0" fontId="0" fillId="0" borderId="27" xfId="0" applyBorder="1"/>
    <xf numFmtId="0" fontId="0" fillId="5" borderId="0" xfId="0" applyFill="1"/>
    <xf numFmtId="43" fontId="0" fillId="8" borderId="19" xfId="1" applyFont="1" applyFill="1" applyBorder="1" applyAlignment="1"/>
    <xf numFmtId="0" fontId="0" fillId="8" borderId="19" xfId="0" applyFill="1" applyBorder="1" applyAlignment="1"/>
    <xf numFmtId="0" fontId="0" fillId="8" borderId="20" xfId="0" applyFill="1" applyBorder="1" applyAlignment="1"/>
    <xf numFmtId="14" fontId="0" fillId="8" borderId="24" xfId="0" applyNumberFormat="1" applyFill="1" applyBorder="1"/>
    <xf numFmtId="43" fontId="0" fillId="8" borderId="24" xfId="1" applyFont="1" applyFill="1" applyBorder="1"/>
    <xf numFmtId="44" fontId="0" fillId="8" borderId="24" xfId="2" applyFont="1" applyFill="1" applyBorder="1"/>
    <xf numFmtId="44" fontId="0" fillId="8" borderId="25" xfId="2" applyFont="1" applyFill="1" applyBorder="1"/>
    <xf numFmtId="164" fontId="2" fillId="0" borderId="2" xfId="1" applyNumberFormat="1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43" fontId="5" fillId="0" borderId="0" xfId="1" applyFont="1"/>
    <xf numFmtId="7" fontId="0" fillId="0" borderId="4" xfId="2" applyNumberFormat="1" applyFont="1" applyBorder="1"/>
    <xf numFmtId="43" fontId="0" fillId="0" borderId="4" xfId="1" applyNumberFormat="1" applyFont="1" applyBorder="1"/>
    <xf numFmtId="44" fontId="0" fillId="0" borderId="4" xfId="2" applyNumberFormat="1" applyFont="1" applyBorder="1"/>
    <xf numFmtId="44" fontId="0" fillId="0" borderId="0" xfId="2" applyFont="1"/>
    <xf numFmtId="0" fontId="0" fillId="0" borderId="0" xfId="1" applyNumberFormat="1" applyFont="1"/>
    <xf numFmtId="44" fontId="0" fillId="0" borderId="0" xfId="2" applyNumberFormat="1" applyFont="1"/>
    <xf numFmtId="44" fontId="0" fillId="0" borderId="28" xfId="2" applyNumberFormat="1" applyFont="1" applyBorder="1"/>
    <xf numFmtId="0" fontId="8" fillId="5" borderId="10" xfId="0" applyFont="1" applyFill="1" applyBorder="1" applyAlignment="1">
      <alignment horizontal="center"/>
    </xf>
    <xf numFmtId="0" fontId="8" fillId="5" borderId="11" xfId="0" applyFont="1" applyFill="1" applyBorder="1" applyAlignment="1">
      <alignment horizontal="center"/>
    </xf>
    <xf numFmtId="0" fontId="4" fillId="2" borderId="2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26"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top style="thin">
          <color indexed="64"/>
        </top>
        <bottom style="hair">
          <color auto="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\ #,##0.00;\-&quot;R$&quot;\ 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\ #,##0.00;\-&quot;R$&quot;\ 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Registro de Invent&#225;rio'!A1"/><Relationship Id="rId2" Type="http://schemas.openxmlformats.org/officeDocument/2006/relationships/hyperlink" Target="#'Consulta Estoque'!A1"/><Relationship Id="rId1" Type="http://schemas.openxmlformats.org/officeDocument/2006/relationships/hyperlink" Target="#'Entrada e Sa&#237;da'!A1"/><Relationship Id="rId5" Type="http://schemas.openxmlformats.org/officeDocument/2006/relationships/hyperlink" Target="#'Cadastros Gerais'!A1"/><Relationship Id="rId4" Type="http://schemas.openxmlformats.org/officeDocument/2006/relationships/hyperlink" Target="#'Cadastro de Produt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5</xdr:row>
      <xdr:rowOff>9525</xdr:rowOff>
    </xdr:from>
    <xdr:to>
      <xdr:col>4</xdr:col>
      <xdr:colOff>600075</xdr:colOff>
      <xdr:row>7</xdr:row>
      <xdr:rowOff>133350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600200" y="96202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 e Saída</a:t>
          </a:r>
        </a:p>
      </xdr:txBody>
    </xdr:sp>
    <xdr:clientData/>
  </xdr:twoCellAnchor>
  <xdr:twoCellAnchor>
    <xdr:from>
      <xdr:col>2</xdr:col>
      <xdr:colOff>390525</xdr:colOff>
      <xdr:row>8</xdr:row>
      <xdr:rowOff>28575</xdr:rowOff>
    </xdr:from>
    <xdr:to>
      <xdr:col>5</xdr:col>
      <xdr:colOff>0</xdr:colOff>
      <xdr:row>10</xdr:row>
      <xdr:rowOff>152400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609725" y="155257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 Estoque</a:t>
          </a:r>
        </a:p>
      </xdr:txBody>
    </xdr:sp>
    <xdr:clientData/>
  </xdr:twoCellAnchor>
  <xdr:twoCellAnchor>
    <xdr:from>
      <xdr:col>2</xdr:col>
      <xdr:colOff>390525</xdr:colOff>
      <xdr:row>11</xdr:row>
      <xdr:rowOff>28575</xdr:rowOff>
    </xdr:from>
    <xdr:to>
      <xdr:col>5</xdr:col>
      <xdr:colOff>0</xdr:colOff>
      <xdr:row>13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1609725" y="212407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Registro</a:t>
          </a:r>
          <a:r>
            <a:rPr lang="pt-BR" sz="1100" baseline="0"/>
            <a:t> de Inventário</a:t>
          </a:r>
          <a:endParaRPr lang="pt-BR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8</xdr:col>
      <xdr:colOff>228600</xdr:colOff>
      <xdr:row>7</xdr:row>
      <xdr:rowOff>123825</xdr:rowOff>
    </xdr:to>
    <xdr:sp macro="" textlink="">
      <xdr:nvSpPr>
        <xdr:cNvPr id="5" name="Retângulo de cantos arredondados 4">
          <a:hlinkClick xmlns:r="http://schemas.openxmlformats.org/officeDocument/2006/relationships" r:id="rId4"/>
        </xdr:cNvPr>
        <xdr:cNvSpPr/>
      </xdr:nvSpPr>
      <xdr:spPr>
        <a:xfrm>
          <a:off x="3667125" y="952500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de Produtos</a:t>
          </a:r>
        </a:p>
      </xdr:txBody>
    </xdr:sp>
    <xdr:clientData/>
  </xdr:twoCellAnchor>
  <xdr:twoCellAnchor>
    <xdr:from>
      <xdr:col>6</xdr:col>
      <xdr:colOff>0</xdr:colOff>
      <xdr:row>8</xdr:row>
      <xdr:rowOff>9525</xdr:rowOff>
    </xdr:from>
    <xdr:to>
      <xdr:col>8</xdr:col>
      <xdr:colOff>219075</xdr:colOff>
      <xdr:row>10</xdr:row>
      <xdr:rowOff>133350</xdr:rowOff>
    </xdr:to>
    <xdr:sp macro="" textlink="">
      <xdr:nvSpPr>
        <xdr:cNvPr id="6" name="Retângulo de cantos arredondados 5">
          <a:hlinkClick xmlns:r="http://schemas.openxmlformats.org/officeDocument/2006/relationships" r:id="rId5"/>
        </xdr:cNvPr>
        <xdr:cNvSpPr/>
      </xdr:nvSpPr>
      <xdr:spPr>
        <a:xfrm>
          <a:off x="3657600" y="153352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  <a:r>
            <a:rPr lang="pt-BR" sz="1100" baseline="0"/>
            <a:t> Gerais</a:t>
          </a:r>
          <a:endParaRPr lang="pt-BR" sz="1100"/>
        </a:p>
      </xdr:txBody>
    </xdr:sp>
    <xdr:clientData/>
  </xdr:twoCellAnchor>
  <xdr:oneCellAnchor>
    <xdr:from>
      <xdr:col>0</xdr:col>
      <xdr:colOff>340799</xdr:colOff>
      <xdr:row>0</xdr:row>
      <xdr:rowOff>0</xdr:rowOff>
    </xdr:from>
    <xdr:ext cx="6024021" cy="745039"/>
    <xdr:sp macro="" textlink="">
      <xdr:nvSpPr>
        <xdr:cNvPr id="7" name="Retângulo 6"/>
        <xdr:cNvSpPr/>
      </xdr:nvSpPr>
      <xdr:spPr>
        <a:xfrm>
          <a:off x="340799" y="933450"/>
          <a:ext cx="6024021" cy="74503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Controle de Estoque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571499</xdr:colOff>
      <xdr:row>18</xdr:row>
      <xdr:rowOff>0</xdr:rowOff>
    </xdr:from>
    <xdr:to>
      <xdr:col>2</xdr:col>
      <xdr:colOff>1895474</xdr:colOff>
      <xdr:row>20</xdr:row>
      <xdr:rowOff>38100</xdr:rowOff>
    </xdr:to>
    <xdr:sp macro="[0]!lsIncluirLancamento" textlink="">
      <xdr:nvSpPr>
        <xdr:cNvPr id="2" name="Retângulo 1"/>
        <xdr:cNvSpPr/>
      </xdr:nvSpPr>
      <xdr:spPr>
        <a:xfrm>
          <a:off x="2295524" y="2667000"/>
          <a:ext cx="132397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>
    <xdr:from>
      <xdr:col>0</xdr:col>
      <xdr:colOff>1228725</xdr:colOff>
      <xdr:row>0</xdr:row>
      <xdr:rowOff>28575</xdr:rowOff>
    </xdr:from>
    <xdr:to>
      <xdr:col>0</xdr:col>
      <xdr:colOff>1476375</xdr:colOff>
      <xdr:row>1</xdr:row>
      <xdr:rowOff>104775</xdr:rowOff>
    </xdr:to>
    <xdr:sp macro="" textlink="">
      <xdr:nvSpPr>
        <xdr:cNvPr id="3" name="Seta em curva para a esquerda 2">
          <a:hlinkClick xmlns:r="http://schemas.openxmlformats.org/officeDocument/2006/relationships" r:id="rId1"/>
        </xdr:cNvPr>
        <xdr:cNvSpPr/>
      </xdr:nvSpPr>
      <xdr:spPr>
        <a:xfrm>
          <a:off x="1228725" y="28575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85724</xdr:colOff>
      <xdr:row>3</xdr:row>
      <xdr:rowOff>57150</xdr:rowOff>
    </xdr:from>
    <xdr:to>
      <xdr:col>5</xdr:col>
      <xdr:colOff>550332</xdr:colOff>
      <xdr:row>5</xdr:row>
      <xdr:rowOff>180975</xdr:rowOff>
    </xdr:to>
    <xdr:sp macro="[0]!lsConsultaEstoque" textlink="">
      <xdr:nvSpPr>
        <xdr:cNvPr id="2" name="Retângulo 1"/>
        <xdr:cNvSpPr/>
      </xdr:nvSpPr>
      <xdr:spPr>
        <a:xfrm>
          <a:off x="4784724" y="649817"/>
          <a:ext cx="1184275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Consultar Estoque</a:t>
          </a:r>
        </a:p>
      </xdr:txBody>
    </xdr:sp>
    <xdr:clientData/>
  </xdr:twoCellAnchor>
  <xdr:twoCellAnchor>
    <xdr:from>
      <xdr:col>4</xdr:col>
      <xdr:colOff>158750</xdr:colOff>
      <xdr:row>1</xdr:row>
      <xdr:rowOff>42333</xdr:rowOff>
    </xdr:from>
    <xdr:to>
      <xdr:col>4</xdr:col>
      <xdr:colOff>406400</xdr:colOff>
      <xdr:row>2</xdr:row>
      <xdr:rowOff>174624</xdr:rowOff>
    </xdr:to>
    <xdr:sp macro="" textlink="">
      <xdr:nvSpPr>
        <xdr:cNvPr id="3" name="Seta em curva para a esquerda 2">
          <a:hlinkClick xmlns:r="http://schemas.openxmlformats.org/officeDocument/2006/relationships" r:id="rId1"/>
        </xdr:cNvPr>
        <xdr:cNvSpPr/>
      </xdr:nvSpPr>
      <xdr:spPr>
        <a:xfrm>
          <a:off x="4857750" y="243416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0</xdr:row>
      <xdr:rowOff>57150</xdr:rowOff>
    </xdr:from>
    <xdr:to>
      <xdr:col>11</xdr:col>
      <xdr:colOff>371475</xdr:colOff>
      <xdr:row>0</xdr:row>
      <xdr:rowOff>390525</xdr:rowOff>
    </xdr:to>
    <xdr:sp macro="" textlink="">
      <xdr:nvSpPr>
        <xdr:cNvPr id="2" name="Seta em curva para a esquerda 1">
          <a:hlinkClick xmlns:r="http://schemas.openxmlformats.org/officeDocument/2006/relationships" r:id="rId1"/>
        </xdr:cNvPr>
        <xdr:cNvSpPr/>
      </xdr:nvSpPr>
      <xdr:spPr>
        <a:xfrm>
          <a:off x="10077450" y="57150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28575</xdr:rowOff>
    </xdr:from>
    <xdr:to>
      <xdr:col>5</xdr:col>
      <xdr:colOff>352425</xdr:colOff>
      <xdr:row>0</xdr:row>
      <xdr:rowOff>361950</xdr:rowOff>
    </xdr:to>
    <xdr:sp macro="" textlink="">
      <xdr:nvSpPr>
        <xdr:cNvPr id="2" name="Seta em curva para a esquerda 1">
          <a:hlinkClick xmlns:r="http://schemas.openxmlformats.org/officeDocument/2006/relationships" r:id="rId1"/>
        </xdr:cNvPr>
        <xdr:cNvSpPr/>
      </xdr:nvSpPr>
      <xdr:spPr>
        <a:xfrm>
          <a:off x="6800850" y="28575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47625</xdr:rowOff>
    </xdr:from>
    <xdr:to>
      <xdr:col>2</xdr:col>
      <xdr:colOff>323850</xdr:colOff>
      <xdr:row>0</xdr:row>
      <xdr:rowOff>381000</xdr:rowOff>
    </xdr:to>
    <xdr:sp macro="" textlink="">
      <xdr:nvSpPr>
        <xdr:cNvPr id="2" name="Seta em curva para a esquerda 1">
          <a:hlinkClick xmlns:r="http://schemas.openxmlformats.org/officeDocument/2006/relationships" r:id="rId1"/>
        </xdr:cNvPr>
        <xdr:cNvSpPr/>
      </xdr:nvSpPr>
      <xdr:spPr>
        <a:xfrm>
          <a:off x="3067050" y="47625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a3" displayName="Tabela3" ref="A8:O12" totalsRowShown="0" headerRowDxfId="25">
  <tableColumns count="15">
    <tableColumn id="1" name="Código"/>
    <tableColumn id="2" name="Tipo Movimentação"/>
    <tableColumn id="3" name="Data" dataDxfId="24"/>
    <tableColumn id="4" name="Qtde." dataDxfId="23" dataCellStyle="Vírgula"/>
    <tableColumn id="5" name="Valor Entrada" dataDxfId="22" dataCellStyle="Moeda"/>
    <tableColumn id="6" name="Operação Fiscal" dataDxfId="21" dataCellStyle="Moeda"/>
    <tableColumn id="7" name="Série" dataDxfId="20" dataCellStyle="Vírgula"/>
    <tableColumn id="8" name="Nota Fiscal" dataDxfId="19" dataCellStyle="Vírgula"/>
    <tableColumn id="9" name="Fornecedor/Cliente" dataDxfId="18" dataCellStyle="Moeda"/>
    <tableColumn id="15" name="Complemento" dataDxfId="17" dataCellStyle="Moeda"/>
    <tableColumn id="16" name="Valor Mov." dataDxfId="16" dataCellStyle="Moeda">
      <calculatedColumnFormula>IFERROR(IF(B9="E",D9*E9,D9*N9),0)</calculatedColumnFormula>
    </tableColumn>
    <tableColumn id="17" name="Qtd.Total" dataDxfId="15" dataCellStyle="Vírgula">
      <calculatedColumnFormula>IFERROR(IF(B9="E",IF(ISNUMBER(L8),L8+D9,D9),L8-D9),0)</calculatedColumnFormula>
    </tableColumn>
    <tableColumn id="18" name="Valor Total" dataDxfId="14" dataCellStyle="Moeda">
      <calculatedColumnFormula>IFERROR(IF(B9="E",IF(ISNUMBER(M8),M8+K9,K9),M8-(D9*N8)),0)</calculatedColumnFormula>
    </tableColumn>
    <tableColumn id="20" name="Custo Médio" dataDxfId="13" dataCellStyle="Moeda">
      <calculatedColumnFormula>IFERROR(M9/L9,0)</calculatedColumnFormula>
    </tableColumn>
    <tableColumn id="10" name="Colunas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K16" totalsRowShown="0" headerRowDxfId="12">
  <tableColumns count="11">
    <tableColumn id="1" name="Código"/>
    <tableColumn id="2" name="Tipo Movimentação"/>
    <tableColumn id="3" name="Data" dataDxfId="11"/>
    <tableColumn id="4" name="Qtde." dataDxfId="10" dataCellStyle="Vírgula"/>
    <tableColumn id="5" name="Valor Entrada" dataDxfId="9" dataCellStyle="Vírgula"/>
    <tableColumn id="6" name="Operação Fiscal"/>
    <tableColumn id="7" name="Série"/>
    <tableColumn id="8" name="Nota Fiscal"/>
    <tableColumn id="9" name="Fornecedor/Cliente"/>
    <tableColumn id="10" name="Complemento"/>
    <tableColumn id="11" name="Seq" dataDxfId="8">
      <calculatedColumnFormula>COUNTIF($A$1:A2,A2)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Tabela6" displayName="Tabela6" ref="A1:E23" totalsRowShown="0" headerRowDxfId="7" headerRowBorderDxfId="6" tableBorderDxfId="5">
  <autoFilter ref="A1:E23"/>
  <tableColumns count="5">
    <tableColumn id="1" name="Código" dataDxfId="4"/>
    <tableColumn id="2" name="Produto" dataDxfId="3"/>
    <tableColumn id="3" name="Dimensões" dataDxfId="2"/>
    <tableColumn id="4" name="Fornecedor principal" dataDxfId="1"/>
    <tableColumn id="5" name="Detalhes" dataDxfId="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A1:B3" totalsRowShown="0">
  <autoFilter ref="A1:B3"/>
  <sortState ref="A2:B3">
    <sortCondition ref="A2:A3"/>
  </sortState>
  <tableColumns count="2">
    <tableColumn id="1" name="Operação Fiscal"/>
    <tableColumn id="2" name="Tipo movimentaçã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4" tint="0.39997558519241921"/>
  </sheetPr>
  <dimension ref="A1:N24"/>
  <sheetViews>
    <sheetView tabSelected="1" workbookViewId="0"/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spans="1:14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</row>
    <row r="2" spans="1:14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</row>
    <row r="3" spans="1:14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</row>
    <row r="4" spans="1:14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</row>
    <row r="5" spans="1:14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</row>
    <row r="6" spans="1:14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</row>
    <row r="7" spans="1:14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</row>
    <row r="8" spans="1:14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</row>
    <row r="9" spans="1:14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4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4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1:14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</row>
    <row r="13" spans="1:14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</row>
    <row r="14" spans="1:14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</row>
    <row r="15" spans="1:14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</row>
    <row r="16" spans="1:14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</row>
    <row r="17" spans="1:14" hidden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1:14" hidden="1" x14ac:dyDescent="0.25"/>
    <row r="19" spans="1:14" hidden="1" x14ac:dyDescent="0.25"/>
    <row r="20" spans="1:14" hidden="1" x14ac:dyDescent="0.25"/>
    <row r="21" spans="1:14" hidden="1" x14ac:dyDescent="0.25"/>
    <row r="22" spans="1:14" hidden="1" x14ac:dyDescent="0.25"/>
    <row r="23" spans="1:14" hidden="1" x14ac:dyDescent="0.25"/>
    <row r="24" spans="1:14" hidden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4" tint="0.39997558519241921"/>
  </sheetPr>
  <dimension ref="A1:S35"/>
  <sheetViews>
    <sheetView workbookViewId="0">
      <selection activeCell="C3" sqref="C3"/>
    </sheetView>
  </sheetViews>
  <sheetFormatPr defaultColWidth="0" defaultRowHeight="15" zeroHeight="1" x14ac:dyDescent="0.25"/>
  <cols>
    <col min="1" max="1" width="24.85546875" customWidth="1"/>
    <col min="2" max="2" width="18.7109375" bestFit="1" customWidth="1"/>
    <col min="3" max="3" width="28.5703125" style="5" customWidth="1"/>
    <col min="4" max="4" width="9.140625" style="7" customWidth="1"/>
    <col min="5" max="5" width="13.42578125" style="6" hidden="1" customWidth="1"/>
    <col min="6" max="11" width="9.140625" hidden="1" customWidth="1"/>
    <col min="12" max="19" width="0" hidden="1" customWidth="1"/>
    <col min="20" max="16384" width="9.140625" hidden="1"/>
  </cols>
  <sheetData>
    <row r="1" spans="1:19" ht="20.25" thickBot="1" x14ac:dyDescent="0.35">
      <c r="A1" s="18"/>
      <c r="B1" s="65" t="s">
        <v>39</v>
      </c>
      <c r="C1" s="66"/>
      <c r="D1" s="19"/>
      <c r="E1" s="20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</row>
    <row r="2" spans="1:19" ht="15.75" thickBot="1" x14ac:dyDescent="0.3">
      <c r="A2" s="21"/>
      <c r="B2" s="21"/>
      <c r="C2" s="22"/>
      <c r="D2" s="23"/>
      <c r="E2" s="24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</row>
    <row r="3" spans="1:19" x14ac:dyDescent="0.25">
      <c r="A3" s="21"/>
      <c r="B3" s="30" t="s">
        <v>0</v>
      </c>
      <c r="C3" s="25">
        <v>3</v>
      </c>
      <c r="D3" s="23"/>
      <c r="E3" s="24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19" x14ac:dyDescent="0.25">
      <c r="A4" s="21"/>
      <c r="B4" s="31" t="s">
        <v>1</v>
      </c>
      <c r="C4" s="33" t="str">
        <f>IFERROR(VLOOKUP(C3,'Cadastro de Produtos'!A:B,2,0),"NÃO ENCONTRADO")</f>
        <v>Toca de natação Speedo</v>
      </c>
      <c r="D4" s="23"/>
      <c r="E4" s="24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1:19" x14ac:dyDescent="0.25">
      <c r="A5" s="21"/>
      <c r="B5" s="31" t="s">
        <v>2</v>
      </c>
      <c r="C5" s="33">
        <f>IFERROR(VLOOKUP(C3,'Cadastro de Produtos'!A:C,3,0),"NÃO ENCONTRADO")</f>
        <v>0</v>
      </c>
      <c r="D5" s="23"/>
      <c r="E5" s="24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1:19" x14ac:dyDescent="0.25">
      <c r="A6" s="21"/>
      <c r="B6" s="31" t="s">
        <v>3</v>
      </c>
      <c r="C6" s="33" t="str">
        <f>IFERROR(VLOOKUP(C3,'Cadastro de Produtos'!A:D,4,0),"NÃO ENCONTRADO")</f>
        <v>Speedo</v>
      </c>
      <c r="D6" s="23"/>
      <c r="E6" s="24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 x14ac:dyDescent="0.25">
      <c r="A7" s="21"/>
      <c r="B7" s="31" t="s">
        <v>4</v>
      </c>
      <c r="C7" s="33" t="str">
        <f>IFERROR(VLOOKUP(C3,'Cadastro de Produtos'!A:E,5,0),"NÃO ENCONTRADO")</f>
        <v>Preto</v>
      </c>
      <c r="D7" s="23"/>
      <c r="E7" s="24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1:19" x14ac:dyDescent="0.25">
      <c r="A8" s="21"/>
      <c r="B8" s="31" t="s">
        <v>27</v>
      </c>
      <c r="C8" s="26" t="s">
        <v>33</v>
      </c>
      <c r="D8" s="23"/>
      <c r="E8" s="24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1:19" x14ac:dyDescent="0.25">
      <c r="A9" s="21"/>
      <c r="B9" s="31" t="s">
        <v>14</v>
      </c>
      <c r="C9" s="33" t="str">
        <f>VLOOKUP(C8,'Cadastros Gerais'!A:B,2,0)</f>
        <v>Entrada</v>
      </c>
      <c r="D9" s="23"/>
      <c r="E9" s="24">
        <f>'Cadastros Gerais'!F12</f>
        <v>0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 x14ac:dyDescent="0.25">
      <c r="A10" s="21"/>
      <c r="B10" s="31" t="s">
        <v>15</v>
      </c>
      <c r="C10" s="27"/>
      <c r="D10" s="23"/>
      <c r="E10" s="24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1" spans="1:19" x14ac:dyDescent="0.25">
      <c r="A11" s="21"/>
      <c r="B11" s="31" t="s">
        <v>18</v>
      </c>
      <c r="C11" s="26"/>
      <c r="D11" s="23"/>
      <c r="E11" s="24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</row>
    <row r="12" spans="1:19" x14ac:dyDescent="0.25">
      <c r="A12" s="21"/>
      <c r="B12" s="31" t="s">
        <v>20</v>
      </c>
      <c r="C12" s="28"/>
      <c r="D12" s="23"/>
      <c r="E12" s="24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</row>
    <row r="13" spans="1:19" x14ac:dyDescent="0.25">
      <c r="A13" s="21"/>
      <c r="B13" s="31" t="s">
        <v>19</v>
      </c>
      <c r="C13" s="34">
        <f>C11*C12</f>
        <v>0</v>
      </c>
      <c r="D13" s="23"/>
      <c r="E13" s="24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 x14ac:dyDescent="0.25">
      <c r="A14" s="21"/>
      <c r="B14" s="31" t="s">
        <v>28</v>
      </c>
      <c r="C14" s="26"/>
      <c r="D14" s="23"/>
      <c r="E14" s="24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</row>
    <row r="15" spans="1:19" x14ac:dyDescent="0.25">
      <c r="A15" s="21"/>
      <c r="B15" s="31" t="s">
        <v>29</v>
      </c>
      <c r="C15" s="26"/>
      <c r="D15" s="23"/>
      <c r="E15" s="24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 x14ac:dyDescent="0.25">
      <c r="A16" s="21"/>
      <c r="B16" s="31" t="s">
        <v>34</v>
      </c>
      <c r="C16" s="26"/>
      <c r="D16" s="23"/>
      <c r="E16" s="24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 ht="15.75" thickBot="1" x14ac:dyDescent="0.3">
      <c r="A17" s="21"/>
      <c r="B17" s="32" t="s">
        <v>30</v>
      </c>
      <c r="C17" s="29"/>
      <c r="D17" s="23"/>
      <c r="E17" s="24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1:19" x14ac:dyDescent="0.25">
      <c r="A18" s="21"/>
      <c r="B18" s="21"/>
      <c r="C18" s="22"/>
      <c r="D18" s="23"/>
      <c r="E18" s="24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 x14ac:dyDescent="0.25">
      <c r="A19" s="21"/>
      <c r="B19" s="21"/>
      <c r="C19" s="22"/>
      <c r="D19" s="23"/>
      <c r="E19" s="24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 x14ac:dyDescent="0.25">
      <c r="A20" s="21"/>
      <c r="B20" s="21"/>
      <c r="C20" s="22"/>
      <c r="D20" s="23"/>
      <c r="E20" s="24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</row>
    <row r="21" spans="1:19" x14ac:dyDescent="0.25">
      <c r="A21" s="21"/>
      <c r="B21" s="21"/>
      <c r="C21" s="22"/>
      <c r="D21" s="23"/>
      <c r="E21" s="24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</row>
    <row r="22" spans="1:19" hidden="1" x14ac:dyDescent="0.25">
      <c r="A22" s="21"/>
      <c r="B22" s="21"/>
      <c r="C22" s="22"/>
      <c r="D22" s="23"/>
      <c r="E22" s="24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</row>
    <row r="23" spans="1:19" hidden="1" x14ac:dyDescent="0.25">
      <c r="A23" s="21"/>
      <c r="B23" s="21"/>
      <c r="C23" s="22"/>
      <c r="D23" s="23"/>
      <c r="E23" s="24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</row>
    <row r="24" spans="1:19" hidden="1" x14ac:dyDescent="0.25">
      <c r="A24" s="21"/>
      <c r="B24" s="21"/>
      <c r="C24" s="22"/>
      <c r="D24" s="23"/>
      <c r="E24" s="2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</row>
    <row r="25" spans="1:19" hidden="1" x14ac:dyDescent="0.25">
      <c r="A25" s="21"/>
      <c r="B25" s="21"/>
      <c r="C25" s="22"/>
      <c r="D25" s="23"/>
      <c r="E25" s="2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</row>
    <row r="26" spans="1:19" hidden="1" x14ac:dyDescent="0.25">
      <c r="A26" s="21"/>
      <c r="B26" s="21"/>
      <c r="C26" s="22"/>
      <c r="D26" s="23"/>
      <c r="E26" s="24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</row>
    <row r="27" spans="1:19" hidden="1" x14ac:dyDescent="0.25">
      <c r="A27" s="21"/>
      <c r="B27" s="21"/>
      <c r="C27" s="22"/>
      <c r="D27" s="23"/>
      <c r="E27" s="24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</row>
    <row r="28" spans="1:19" hidden="1" x14ac:dyDescent="0.25">
      <c r="A28" s="21"/>
      <c r="B28" s="21"/>
      <c r="C28" s="22"/>
      <c r="D28" s="23"/>
      <c r="E28" s="24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</row>
    <row r="29" spans="1:19" hidden="1" x14ac:dyDescent="0.25">
      <c r="A29" s="21"/>
      <c r="B29" s="21"/>
      <c r="C29" s="22"/>
      <c r="D29" s="23"/>
      <c r="E29" s="24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</row>
    <row r="30" spans="1:19" hidden="1" x14ac:dyDescent="0.25">
      <c r="A30" s="21"/>
      <c r="B30" s="21"/>
      <c r="C30" s="22"/>
      <c r="D30" s="23"/>
      <c r="E30" s="24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</row>
    <row r="31" spans="1:19" hidden="1" x14ac:dyDescent="0.25">
      <c r="A31" s="21"/>
      <c r="B31" s="21"/>
      <c r="C31" s="22"/>
      <c r="D31" s="23"/>
      <c r="E31" s="24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</row>
    <row r="32" spans="1:19" hidden="1" x14ac:dyDescent="0.25">
      <c r="A32" s="21"/>
      <c r="B32" s="21"/>
      <c r="C32" s="22"/>
      <c r="D32" s="23"/>
      <c r="E32" s="24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</row>
    <row r="33" spans="1:19" hidden="1" x14ac:dyDescent="0.25">
      <c r="A33" s="21"/>
      <c r="B33" s="21"/>
      <c r="C33" s="22"/>
      <c r="D33" s="23"/>
      <c r="E33" s="24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4" spans="1:19" hidden="1" x14ac:dyDescent="0.25">
      <c r="A34" s="21"/>
      <c r="B34" s="21"/>
      <c r="C34" s="22"/>
      <c r="D34" s="23"/>
      <c r="E34" s="24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</row>
    <row r="35" spans="1:19" hidden="1" x14ac:dyDescent="0.25">
      <c r="A35" s="21"/>
      <c r="B35" s="21"/>
      <c r="C35" s="22"/>
      <c r="D35" s="23"/>
      <c r="E35" s="24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</row>
  </sheetData>
  <sheetProtection sheet="1" objects="1" scenarios="1" selectLockedCells="1"/>
  <mergeCells count="1">
    <mergeCell ref="B1:C1"/>
  </mergeCells>
  <dataValidations count="4">
    <dataValidation type="list" allowBlank="1" showInputMessage="1" showErrorMessage="1" sqref="C9">
      <formula1>"Entrada,Saída"</formula1>
    </dataValidation>
    <dataValidation type="date" allowBlank="1" showInputMessage="1" showErrorMessage="1" sqref="C10">
      <formula1>1</formula1>
      <formula2>402133</formula2>
    </dataValidation>
    <dataValidation type="list" allowBlank="1" showInputMessage="1" showErrorMessage="1" sqref="C8">
      <formula1>Tipo_Movimentacao</formula1>
    </dataValidation>
    <dataValidation type="list" allowBlank="1" showInputMessage="1" showErrorMessage="1" sqref="C3">
      <formula1>Produtos</formula1>
    </dataValidation>
  </dataValidations>
  <hyperlinks>
    <hyperlink ref="B3" location="'Cadastro de Produtos'!A1" display="Códig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4" tint="0.39997558519241921"/>
  </sheetPr>
  <dimension ref="A1:P12"/>
  <sheetViews>
    <sheetView showGridLines="0" zoomScale="90" zoomScaleNormal="90" workbookViewId="0">
      <pane xSplit="13" ySplit="8" topLeftCell="N9" activePane="bottomRight" state="frozen"/>
      <selection pane="topRight" activeCell="N1" sqref="N1"/>
      <selection pane="bottomLeft" activeCell="A9" sqref="A9"/>
      <selection pane="bottomRight"/>
    </sheetView>
  </sheetViews>
  <sheetFormatPr defaultColWidth="0" defaultRowHeight="15" x14ac:dyDescent="0.25"/>
  <cols>
    <col min="1" max="1" width="18.42578125" customWidth="1"/>
    <col min="2" max="2" width="23" bestFit="1" customWidth="1"/>
    <col min="3" max="3" width="12.28515625" bestFit="1" customWidth="1"/>
    <col min="4" max="4" width="13.85546875" bestFit="1" customWidth="1"/>
    <col min="5" max="5" width="12.7109375" bestFit="1" customWidth="1"/>
    <col min="6" max="6" width="17.42578125" customWidth="1"/>
    <col min="7" max="7" width="6.85546875" customWidth="1"/>
    <col min="8" max="8" width="12" style="7" bestFit="1" customWidth="1"/>
    <col min="9" max="9" width="18.7109375" bestFit="1" customWidth="1"/>
    <col min="10" max="10" width="13.85546875" bestFit="1" customWidth="1"/>
    <col min="11" max="11" width="11.42578125" bestFit="1" customWidth="1"/>
    <col min="12" max="12" width="9.28515625" bestFit="1" customWidth="1"/>
    <col min="13" max="13" width="17.85546875" customWidth="1"/>
    <col min="14" max="14" width="12.28515625" bestFit="1" customWidth="1"/>
    <col min="15" max="16" width="9" hidden="1" customWidth="1"/>
    <col min="17" max="16384" width="9.140625" hidden="1"/>
  </cols>
  <sheetData>
    <row r="1" spans="1:15" ht="15.75" thickBot="1" x14ac:dyDescent="0.3"/>
    <row r="2" spans="1:15" ht="15.75" thickBot="1" x14ac:dyDescent="0.3">
      <c r="A2" s="13" t="s">
        <v>0</v>
      </c>
      <c r="B2" s="40" t="s">
        <v>1</v>
      </c>
      <c r="C2" s="67" t="s">
        <v>24</v>
      </c>
      <c r="D2" s="68"/>
    </row>
    <row r="3" spans="1:15" x14ac:dyDescent="0.25">
      <c r="A3" s="44">
        <v>3</v>
      </c>
      <c r="B3" s="39" t="str">
        <f>VLOOKUP(A3,'Cadastro de Produtos'!A:B,2,0)</f>
        <v>Toca de natação Speedo</v>
      </c>
      <c r="C3" s="41" t="s">
        <v>15</v>
      </c>
      <c r="D3" s="51">
        <f ca="1">INDIRECT("C"&amp;lfUltimaLinhaAtiva(Tabela3[[#Headers],[Código]]))</f>
        <v>41376</v>
      </c>
    </row>
    <row r="4" spans="1:15" x14ac:dyDescent="0.25">
      <c r="A4" s="16" t="s">
        <v>2</v>
      </c>
      <c r="B4" s="48">
        <f>VLOOKUP(A3,'Cadastro de Produtos'!A:E,3,0)</f>
        <v>0</v>
      </c>
      <c r="C4" s="42" t="s">
        <v>18</v>
      </c>
      <c r="D4" s="52">
        <f ca="1">INDIRECT("l"&amp;lfUltimaLinhaAtiva(Tabela3[[#Headers],[Código]]))</f>
        <v>33</v>
      </c>
    </row>
    <row r="5" spans="1:15" x14ac:dyDescent="0.25">
      <c r="A5" s="16" t="s">
        <v>3</v>
      </c>
      <c r="B5" s="49" t="str">
        <f>VLOOKUP(A3,'Cadastro de Produtos'!A:E,4,0)</f>
        <v>Speedo</v>
      </c>
      <c r="C5" s="42" t="s">
        <v>17</v>
      </c>
      <c r="D5" s="53">
        <f ca="1">INDIRECT("m"&amp;lfUltimaLinhaAtiva(Tabela3[[#Headers],[Código]]))</f>
        <v>5154</v>
      </c>
    </row>
    <row r="6" spans="1:15" ht="15.75" thickBot="1" x14ac:dyDescent="0.3">
      <c r="A6" s="17" t="s">
        <v>4</v>
      </c>
      <c r="B6" s="50" t="str">
        <f>VLOOKUP(A3,'Cadastro de Produtos'!A:E,5,0)</f>
        <v>Preto</v>
      </c>
      <c r="C6" s="43" t="s">
        <v>23</v>
      </c>
      <c r="D6" s="54">
        <f ca="1">INDIRECT("n"&amp;lfUltimaLinhaAtiva(Tabela3[[#Headers],[Código]]))</f>
        <v>156.18181818181819</v>
      </c>
    </row>
    <row r="8" spans="1:15" x14ac:dyDescent="0.25">
      <c r="A8" s="1" t="s">
        <v>0</v>
      </c>
      <c r="B8" s="1" t="s">
        <v>14</v>
      </c>
      <c r="C8" s="8" t="s">
        <v>15</v>
      </c>
      <c r="D8" s="9" t="s">
        <v>16</v>
      </c>
      <c r="E8" s="10" t="s">
        <v>46</v>
      </c>
      <c r="F8" s="4" t="s">
        <v>27</v>
      </c>
      <c r="G8" s="4" t="s">
        <v>28</v>
      </c>
      <c r="H8" s="55" t="s">
        <v>29</v>
      </c>
      <c r="I8" s="4" t="s">
        <v>34</v>
      </c>
      <c r="J8" s="35" t="s">
        <v>30</v>
      </c>
      <c r="K8" s="35" t="s">
        <v>40</v>
      </c>
      <c r="L8" s="35" t="s">
        <v>41</v>
      </c>
      <c r="M8" s="35" t="s">
        <v>22</v>
      </c>
      <c r="N8" s="35" t="s">
        <v>23</v>
      </c>
      <c r="O8" s="56" t="s">
        <v>45</v>
      </c>
    </row>
    <row r="9" spans="1:15" x14ac:dyDescent="0.25">
      <c r="A9">
        <v>3</v>
      </c>
      <c r="B9" t="s">
        <v>21</v>
      </c>
      <c r="C9" s="5">
        <v>41294</v>
      </c>
      <c r="D9" s="7">
        <v>50</v>
      </c>
      <c r="E9" s="15">
        <v>153</v>
      </c>
      <c r="F9" t="s">
        <v>33</v>
      </c>
      <c r="G9" t="s">
        <v>31</v>
      </c>
      <c r="H9">
        <v>155</v>
      </c>
      <c r="I9" t="s">
        <v>42</v>
      </c>
      <c r="J9" t="s">
        <v>43</v>
      </c>
      <c r="K9" s="36">
        <f t="shared" ref="K9" si="0">IFERROR(IF(B9="E",D9*E9,D9*N9),0)</f>
        <v>7650</v>
      </c>
      <c r="L9" s="37">
        <f>IFERROR(IF(B9="E",IF(ISNUMBER(L8),L8+D9,D9),L8-D9),0)</f>
        <v>50</v>
      </c>
      <c r="M9" s="38">
        <f t="shared" ref="M9" si="1">IFERROR(IF(B9="E",IF(ISNUMBER(M8),M8+K9,K9),M8-(D9*N8)),0)</f>
        <v>7650</v>
      </c>
      <c r="N9" s="14">
        <f t="shared" ref="N9" si="2">IFERROR(M9/L9,0)</f>
        <v>153</v>
      </c>
    </row>
    <row r="10" spans="1:15" x14ac:dyDescent="0.25">
      <c r="A10">
        <v>3</v>
      </c>
      <c r="B10" t="s">
        <v>26</v>
      </c>
      <c r="C10" s="5">
        <v>41376</v>
      </c>
      <c r="D10" s="7">
        <v>20</v>
      </c>
      <c r="E10" s="61">
        <v>0</v>
      </c>
      <c r="F10" s="61" t="s">
        <v>32</v>
      </c>
      <c r="G10" s="62">
        <v>1</v>
      </c>
      <c r="H10" s="7">
        <v>123</v>
      </c>
      <c r="I10" s="63">
        <v>12345</v>
      </c>
      <c r="J10" s="58">
        <v>123</v>
      </c>
      <c r="K10" s="58">
        <f t="shared" ref="K10:K12" si="3">IFERROR(IF(B10="E",D10*E10,D10*N10),0)</f>
        <v>3060</v>
      </c>
      <c r="L10" s="59">
        <f t="shared" ref="L10:L12" si="4">IFERROR(IF(B10="E",IF(ISNUMBER(L9),L9+D10,D10),L9-D10),0)</f>
        <v>30</v>
      </c>
      <c r="M10" s="60">
        <f t="shared" ref="M10:M12" si="5">IFERROR(IF(B10="E",IF(ISNUMBER(M9),M9+K10,K10),M9-(D10*N9)),0)</f>
        <v>4590</v>
      </c>
      <c r="N10" s="14">
        <f t="shared" ref="N10:N12" si="6">IFERROR(M10/L10,0)</f>
        <v>153</v>
      </c>
    </row>
    <row r="11" spans="1:15" x14ac:dyDescent="0.25">
      <c r="A11">
        <v>3</v>
      </c>
      <c r="B11" t="s">
        <v>26</v>
      </c>
      <c r="C11" s="5">
        <v>41376</v>
      </c>
      <c r="D11" s="7">
        <v>12</v>
      </c>
      <c r="E11" s="61">
        <v>0</v>
      </c>
      <c r="F11" s="61" t="s">
        <v>32</v>
      </c>
      <c r="G11" s="62">
        <v>12</v>
      </c>
      <c r="H11" s="7">
        <v>12</v>
      </c>
      <c r="I11" s="63">
        <v>12</v>
      </c>
      <c r="J11" s="36">
        <v>12</v>
      </c>
      <c r="K11" s="36">
        <f t="shared" si="3"/>
        <v>1836</v>
      </c>
      <c r="L11" s="37">
        <f t="shared" si="4"/>
        <v>18</v>
      </c>
      <c r="M11" s="38">
        <f t="shared" si="5"/>
        <v>2754</v>
      </c>
      <c r="N11" s="64">
        <f t="shared" si="6"/>
        <v>153</v>
      </c>
    </row>
    <row r="12" spans="1:15" x14ac:dyDescent="0.25">
      <c r="A12">
        <v>3</v>
      </c>
      <c r="B12" t="s">
        <v>21</v>
      </c>
      <c r="C12" s="5">
        <v>41376</v>
      </c>
      <c r="D12" s="7">
        <v>15</v>
      </c>
      <c r="E12" s="61">
        <v>160</v>
      </c>
      <c r="F12" s="61" t="s">
        <v>33</v>
      </c>
      <c r="G12" s="62" t="s">
        <v>31</v>
      </c>
      <c r="H12" s="7">
        <v>1</v>
      </c>
      <c r="I12" s="63">
        <v>123</v>
      </c>
      <c r="J12" s="36">
        <v>123</v>
      </c>
      <c r="K12" s="36">
        <f t="shared" si="3"/>
        <v>2400</v>
      </c>
      <c r="L12" s="37">
        <f t="shared" si="4"/>
        <v>33</v>
      </c>
      <c r="M12" s="38">
        <f t="shared" si="5"/>
        <v>5154</v>
      </c>
      <c r="N12" s="64">
        <f t="shared" si="6"/>
        <v>156.18181818181819</v>
      </c>
    </row>
  </sheetData>
  <mergeCells count="1">
    <mergeCell ref="C2:D2"/>
  </mergeCells>
  <dataValidations count="1">
    <dataValidation type="list" allowBlank="1" showInputMessage="1" showErrorMessage="1" sqref="A3">
      <formula1>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8" tint="0.39997558519241921"/>
  </sheetPr>
  <dimension ref="A1:K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4" sqref="H4"/>
    </sheetView>
  </sheetViews>
  <sheetFormatPr defaultColWidth="9.140625" defaultRowHeight="15" x14ac:dyDescent="0.25"/>
  <cols>
    <col min="1" max="1" width="12.85546875" customWidth="1"/>
    <col min="2" max="2" width="20.7109375" customWidth="1"/>
    <col min="3" max="3" width="15.28515625" style="5" customWidth="1"/>
    <col min="4" max="4" width="9.140625" style="7" customWidth="1"/>
    <col min="5" max="5" width="13.42578125" style="6" customWidth="1"/>
    <col min="6" max="6" width="14.85546875" bestFit="1" customWidth="1"/>
    <col min="7" max="7" width="10.7109375" customWidth="1"/>
    <col min="8" max="8" width="10.5703125" bestFit="1" customWidth="1"/>
    <col min="9" max="9" width="18.7109375" bestFit="1" customWidth="1"/>
    <col min="10" max="10" width="13.85546875" bestFit="1" customWidth="1"/>
    <col min="11" max="11" width="9.140625" customWidth="1"/>
  </cols>
  <sheetData>
    <row r="1" spans="1:11" ht="33" customHeight="1" x14ac:dyDescent="0.25">
      <c r="A1" s="1" t="s">
        <v>0</v>
      </c>
      <c r="B1" s="1" t="s">
        <v>14</v>
      </c>
      <c r="C1" s="8" t="s">
        <v>15</v>
      </c>
      <c r="D1" s="9" t="s">
        <v>16</v>
      </c>
      <c r="E1" s="10" t="s">
        <v>46</v>
      </c>
      <c r="F1" s="4" t="s">
        <v>27</v>
      </c>
      <c r="G1" s="4" t="s">
        <v>28</v>
      </c>
      <c r="H1" s="4" t="s">
        <v>29</v>
      </c>
      <c r="I1" s="4" t="s">
        <v>34</v>
      </c>
      <c r="J1" s="4" t="s">
        <v>30</v>
      </c>
      <c r="K1" s="1" t="s">
        <v>44</v>
      </c>
    </row>
    <row r="2" spans="1:11" x14ac:dyDescent="0.25">
      <c r="A2">
        <v>1</v>
      </c>
      <c r="B2" t="s">
        <v>21</v>
      </c>
      <c r="C2" s="5">
        <v>41293</v>
      </c>
      <c r="D2" s="11">
        <v>1</v>
      </c>
      <c r="E2" s="12">
        <v>50</v>
      </c>
      <c r="K2">
        <f>COUNTIF($A$1:A2,A2)</f>
        <v>1</v>
      </c>
    </row>
    <row r="3" spans="1:11" x14ac:dyDescent="0.25">
      <c r="A3">
        <v>1</v>
      </c>
      <c r="B3" t="s">
        <v>21</v>
      </c>
      <c r="C3" s="5">
        <v>41294</v>
      </c>
      <c r="D3" s="11">
        <v>5</v>
      </c>
      <c r="E3" s="12">
        <v>50</v>
      </c>
      <c r="K3">
        <f>COUNTIF($A$1:A3,A3)</f>
        <v>2</v>
      </c>
    </row>
    <row r="4" spans="1:11" x14ac:dyDescent="0.25">
      <c r="A4">
        <v>1</v>
      </c>
      <c r="B4" t="s">
        <v>21</v>
      </c>
      <c r="C4" s="5">
        <v>41294</v>
      </c>
      <c r="D4" s="11">
        <v>10</v>
      </c>
      <c r="E4" s="12">
        <v>53</v>
      </c>
      <c r="K4">
        <f>COUNTIF($A$1:A4,A4)</f>
        <v>3</v>
      </c>
    </row>
    <row r="5" spans="1:11" x14ac:dyDescent="0.25">
      <c r="A5">
        <v>1</v>
      </c>
      <c r="B5" t="s">
        <v>21</v>
      </c>
      <c r="C5" s="5">
        <v>41294</v>
      </c>
      <c r="D5" s="11">
        <v>15</v>
      </c>
      <c r="E5" s="12">
        <v>53</v>
      </c>
      <c r="K5">
        <f>COUNTIF($A$1:A5,A5)</f>
        <v>4</v>
      </c>
    </row>
    <row r="6" spans="1:11" x14ac:dyDescent="0.25">
      <c r="A6">
        <v>1</v>
      </c>
      <c r="B6" t="s">
        <v>21</v>
      </c>
      <c r="C6" s="5">
        <v>41294</v>
      </c>
      <c r="D6" s="11">
        <v>20</v>
      </c>
      <c r="E6" s="12">
        <v>53</v>
      </c>
      <c r="K6">
        <f>COUNTIF($A$1:A6,A6)</f>
        <v>5</v>
      </c>
    </row>
    <row r="7" spans="1:11" x14ac:dyDescent="0.25">
      <c r="A7">
        <v>1</v>
      </c>
      <c r="B7" t="s">
        <v>21</v>
      </c>
      <c r="C7" s="5">
        <v>41294</v>
      </c>
      <c r="D7" s="11">
        <v>30</v>
      </c>
      <c r="E7" s="12">
        <v>53</v>
      </c>
      <c r="K7">
        <f>COUNTIF($A$1:A7,A7)</f>
        <v>6</v>
      </c>
    </row>
    <row r="8" spans="1:11" x14ac:dyDescent="0.25">
      <c r="A8">
        <v>1</v>
      </c>
      <c r="B8" t="s">
        <v>21</v>
      </c>
      <c r="C8" s="5">
        <v>41294</v>
      </c>
      <c r="D8" s="11">
        <v>30</v>
      </c>
      <c r="E8" s="12">
        <v>53</v>
      </c>
      <c r="K8">
        <f>COUNTIF($A$1:A8,A8)</f>
        <v>7</v>
      </c>
    </row>
    <row r="9" spans="1:11" x14ac:dyDescent="0.25">
      <c r="A9">
        <v>1</v>
      </c>
      <c r="B9" t="s">
        <v>21</v>
      </c>
      <c r="C9" s="5">
        <v>41294</v>
      </c>
      <c r="D9" s="11">
        <v>30</v>
      </c>
      <c r="E9" s="12">
        <v>53</v>
      </c>
      <c r="K9">
        <f>COUNTIF($A$1:A9,A9)</f>
        <v>8</v>
      </c>
    </row>
    <row r="10" spans="1:11" x14ac:dyDescent="0.25">
      <c r="A10">
        <v>1</v>
      </c>
      <c r="B10" t="s">
        <v>21</v>
      </c>
      <c r="C10" s="5">
        <v>41294</v>
      </c>
      <c r="D10" s="7">
        <v>30</v>
      </c>
      <c r="E10" s="15">
        <v>53</v>
      </c>
      <c r="F10" t="s">
        <v>33</v>
      </c>
      <c r="G10" t="s">
        <v>31</v>
      </c>
      <c r="H10">
        <v>123</v>
      </c>
      <c r="I10" t="s">
        <v>36</v>
      </c>
      <c r="K10">
        <f>COUNTIF($A$1:A10,A10)</f>
        <v>9</v>
      </c>
    </row>
    <row r="11" spans="1:11" x14ac:dyDescent="0.25">
      <c r="A11">
        <v>1</v>
      </c>
      <c r="B11" t="s">
        <v>21</v>
      </c>
      <c r="C11" s="5">
        <v>41294</v>
      </c>
      <c r="D11" s="7">
        <v>30</v>
      </c>
      <c r="E11" s="15">
        <v>53</v>
      </c>
      <c r="F11" t="s">
        <v>33</v>
      </c>
      <c r="G11" t="s">
        <v>31</v>
      </c>
      <c r="H11">
        <v>123</v>
      </c>
      <c r="I11" t="s">
        <v>36</v>
      </c>
      <c r="J11" t="s">
        <v>38</v>
      </c>
      <c r="K11">
        <f>COUNTIF($A$1:A11,A11)</f>
        <v>10</v>
      </c>
    </row>
    <row r="12" spans="1:11" x14ac:dyDescent="0.25">
      <c r="A12">
        <v>2</v>
      </c>
      <c r="B12" t="s">
        <v>21</v>
      </c>
      <c r="C12" s="5">
        <v>41294</v>
      </c>
      <c r="D12" s="7">
        <v>50</v>
      </c>
      <c r="E12" s="15">
        <v>153</v>
      </c>
      <c r="F12" t="s">
        <v>33</v>
      </c>
      <c r="G12" t="s">
        <v>31</v>
      </c>
      <c r="H12">
        <v>124</v>
      </c>
      <c r="I12" t="s">
        <v>42</v>
      </c>
      <c r="J12" t="s">
        <v>43</v>
      </c>
      <c r="K12">
        <f>COUNTIF($A$1:A12,A12)</f>
        <v>1</v>
      </c>
    </row>
    <row r="13" spans="1:11" x14ac:dyDescent="0.25">
      <c r="A13">
        <v>3</v>
      </c>
      <c r="B13" t="s">
        <v>21</v>
      </c>
      <c r="C13" s="5">
        <v>41294</v>
      </c>
      <c r="D13" s="7">
        <v>50</v>
      </c>
      <c r="E13" s="15">
        <v>153</v>
      </c>
      <c r="F13" t="s">
        <v>33</v>
      </c>
      <c r="G13" t="s">
        <v>31</v>
      </c>
      <c r="H13">
        <v>155</v>
      </c>
      <c r="I13" t="s">
        <v>42</v>
      </c>
      <c r="J13" t="s">
        <v>43</v>
      </c>
      <c r="K13">
        <f>COUNTIF($A$1:A13,A13)</f>
        <v>1</v>
      </c>
    </row>
    <row r="14" spans="1:11" x14ac:dyDescent="0.25">
      <c r="A14">
        <v>3</v>
      </c>
      <c r="B14" t="s">
        <v>26</v>
      </c>
      <c r="C14" s="5">
        <v>41376</v>
      </c>
      <c r="D14" s="11">
        <v>20</v>
      </c>
      <c r="E14" s="57">
        <v>0</v>
      </c>
      <c r="F14" t="s">
        <v>32</v>
      </c>
      <c r="G14">
        <v>1</v>
      </c>
      <c r="H14">
        <v>123</v>
      </c>
      <c r="I14">
        <v>12345</v>
      </c>
      <c r="J14">
        <v>123</v>
      </c>
      <c r="K14">
        <f>COUNTIF($A$1:A14,A14)</f>
        <v>2</v>
      </c>
    </row>
    <row r="15" spans="1:11" x14ac:dyDescent="0.25">
      <c r="A15">
        <v>3</v>
      </c>
      <c r="B15" t="s">
        <v>26</v>
      </c>
      <c r="C15" s="5">
        <v>41376</v>
      </c>
      <c r="D15" s="11">
        <v>12</v>
      </c>
      <c r="E15" s="57">
        <v>0</v>
      </c>
      <c r="F15" t="s">
        <v>32</v>
      </c>
      <c r="G15">
        <v>12</v>
      </c>
      <c r="H15">
        <v>12</v>
      </c>
      <c r="I15">
        <v>12</v>
      </c>
      <c r="J15">
        <v>12</v>
      </c>
      <c r="K15">
        <f>COUNTIF($A$1:A15,A15)</f>
        <v>3</v>
      </c>
    </row>
    <row r="16" spans="1:11" x14ac:dyDescent="0.25">
      <c r="A16">
        <v>3</v>
      </c>
      <c r="B16" t="s">
        <v>21</v>
      </c>
      <c r="C16" s="5">
        <v>41376</v>
      </c>
      <c r="D16" s="11">
        <v>15</v>
      </c>
      <c r="E16" s="12">
        <v>160</v>
      </c>
      <c r="F16" t="s">
        <v>33</v>
      </c>
      <c r="G16" t="s">
        <v>31</v>
      </c>
      <c r="H16">
        <v>1</v>
      </c>
      <c r="I16">
        <v>123</v>
      </c>
      <c r="J16">
        <v>123</v>
      </c>
      <c r="K16">
        <f>COUNTIF($A$1:A16,A16)</f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8" tint="0.39997558519241921"/>
  </sheetPr>
  <dimension ref="A1:F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0" defaultRowHeight="15" x14ac:dyDescent="0.25"/>
  <cols>
    <col min="1" max="1" width="9.28515625" customWidth="1"/>
    <col min="2" max="2" width="25.28515625" customWidth="1"/>
    <col min="3" max="3" width="14.85546875" customWidth="1"/>
    <col min="4" max="4" width="21.42578125" customWidth="1"/>
    <col min="5" max="5" width="29.5703125" customWidth="1"/>
    <col min="6" max="6" width="9.140625" customWidth="1"/>
    <col min="7" max="16384" width="9.140625" hidden="1"/>
  </cols>
  <sheetData>
    <row r="1" spans="1:5" ht="35.25" customHeight="1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</row>
    <row r="2" spans="1:5" x14ac:dyDescent="0.25">
      <c r="A2" s="3">
        <v>1</v>
      </c>
      <c r="B2" s="3" t="s">
        <v>5</v>
      </c>
      <c r="C2" s="3"/>
      <c r="D2" s="3" t="s">
        <v>6</v>
      </c>
      <c r="E2" s="3" t="s">
        <v>7</v>
      </c>
    </row>
    <row r="3" spans="1:5" x14ac:dyDescent="0.25">
      <c r="A3" s="2">
        <v>2</v>
      </c>
      <c r="B3" s="2" t="s">
        <v>8</v>
      </c>
      <c r="C3" s="2"/>
      <c r="D3" s="2" t="s">
        <v>10</v>
      </c>
      <c r="E3" s="2" t="s">
        <v>12</v>
      </c>
    </row>
    <row r="4" spans="1:5" x14ac:dyDescent="0.25">
      <c r="A4" s="2">
        <v>3</v>
      </c>
      <c r="B4" s="2" t="s">
        <v>9</v>
      </c>
      <c r="C4" s="2"/>
      <c r="D4" s="2" t="s">
        <v>11</v>
      </c>
      <c r="E4" s="2" t="s">
        <v>13</v>
      </c>
    </row>
    <row r="5" spans="1:5" x14ac:dyDescent="0.25">
      <c r="A5" s="2"/>
      <c r="B5" s="2"/>
      <c r="C5" s="2"/>
      <c r="D5" s="2"/>
      <c r="E5" s="2"/>
    </row>
    <row r="6" spans="1:5" x14ac:dyDescent="0.25">
      <c r="A6" s="2"/>
      <c r="B6" s="2"/>
      <c r="C6" s="2"/>
      <c r="D6" s="2"/>
      <c r="E6" s="2"/>
    </row>
    <row r="7" spans="1:5" x14ac:dyDescent="0.25">
      <c r="A7" s="2"/>
      <c r="B7" s="2"/>
      <c r="C7" s="2"/>
      <c r="D7" s="2"/>
      <c r="E7" s="2"/>
    </row>
    <row r="8" spans="1:5" x14ac:dyDescent="0.25">
      <c r="A8" s="2"/>
      <c r="B8" s="2"/>
      <c r="C8" s="2"/>
      <c r="D8" s="2"/>
      <c r="E8" s="2"/>
    </row>
    <row r="9" spans="1:5" x14ac:dyDescent="0.25">
      <c r="A9" s="2"/>
      <c r="B9" s="2"/>
      <c r="C9" s="2"/>
      <c r="D9" s="2"/>
      <c r="E9" s="2"/>
    </row>
    <row r="10" spans="1:5" x14ac:dyDescent="0.25">
      <c r="A10" s="2"/>
      <c r="B10" s="2"/>
      <c r="C10" s="2"/>
      <c r="D10" s="2"/>
      <c r="E10" s="2"/>
    </row>
    <row r="11" spans="1:5" x14ac:dyDescent="0.25">
      <c r="A11" s="2"/>
      <c r="B11" s="2"/>
      <c r="C11" s="2"/>
      <c r="D11" s="2"/>
      <c r="E11" s="2"/>
    </row>
    <row r="12" spans="1:5" x14ac:dyDescent="0.25">
      <c r="A12" s="2"/>
      <c r="B12" s="2"/>
      <c r="C12" s="2"/>
      <c r="D12" s="2"/>
      <c r="E12" s="2"/>
    </row>
    <row r="13" spans="1:5" x14ac:dyDescent="0.25">
      <c r="A13" s="2"/>
      <c r="B13" s="2"/>
      <c r="C13" s="2"/>
      <c r="D13" s="2"/>
      <c r="E13" s="2"/>
    </row>
    <row r="14" spans="1:5" x14ac:dyDescent="0.25">
      <c r="A14" s="2"/>
      <c r="B14" s="2"/>
      <c r="C14" s="2"/>
      <c r="D14" s="2"/>
      <c r="E14" s="2"/>
    </row>
    <row r="15" spans="1:5" x14ac:dyDescent="0.25">
      <c r="A15" s="2"/>
      <c r="B15" s="2"/>
      <c r="C15" s="2"/>
      <c r="D15" s="2"/>
      <c r="E15" s="2"/>
    </row>
    <row r="16" spans="1:5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46"/>
      <c r="B23" s="46"/>
      <c r="C23" s="46"/>
      <c r="D23" s="46"/>
      <c r="E23" s="4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4" tint="0.59999389629810485"/>
  </sheetPr>
  <dimension ref="A1:B3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3.85546875" bestFit="1" customWidth="1"/>
    <col min="2" max="2" width="21" bestFit="1" customWidth="1"/>
  </cols>
  <sheetData>
    <row r="1" spans="1:2" ht="31.5" customHeight="1" x14ac:dyDescent="0.25">
      <c r="A1" t="s">
        <v>27</v>
      </c>
      <c r="B1" t="s">
        <v>37</v>
      </c>
    </row>
    <row r="2" spans="1:2" x14ac:dyDescent="0.25">
      <c r="A2" t="s">
        <v>33</v>
      </c>
      <c r="B2" t="s">
        <v>35</v>
      </c>
    </row>
    <row r="3" spans="1:2" x14ac:dyDescent="0.25">
      <c r="A3" t="s">
        <v>32</v>
      </c>
      <c r="B3" t="s">
        <v>25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Menu</vt:lpstr>
      <vt:lpstr>Entrada e Saída</vt:lpstr>
      <vt:lpstr>Consulta Estoque</vt:lpstr>
      <vt:lpstr>Registro de Inventário</vt:lpstr>
      <vt:lpstr>Cadastro de Produtos</vt:lpstr>
      <vt:lpstr>Cadastros Gerais</vt:lpstr>
      <vt:lpstr>'Consulta Estoque'!Area_de_extracao</vt:lpstr>
      <vt:lpstr>'Consulta Estoque'!Criterios</vt:lpstr>
      <vt:lpstr>TabelaEstoque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Rieper</dc:creator>
  <cp:lastModifiedBy>Rieper</cp:lastModifiedBy>
  <dcterms:created xsi:type="dcterms:W3CDTF">2013-01-19T13:48:59Z</dcterms:created>
  <dcterms:modified xsi:type="dcterms:W3CDTF">2013-11-24T17:07:50Z</dcterms:modified>
</cp:coreProperties>
</file>